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ANALYSTLAB INTERNSHIP DOCS\"/>
    </mc:Choice>
  </mc:AlternateContent>
  <xr:revisionPtr revIDLastSave="0" documentId="8_{DFFD0E8C-7369-4440-A155-B2D2CD601CB6}" xr6:coauthVersionLast="47" xr6:coauthVersionMax="47" xr10:uidLastSave="{00000000-0000-0000-0000-000000000000}"/>
  <bookViews>
    <workbookView xWindow="-120" yWindow="-120" windowWidth="20730" windowHeight="11040" activeTab="1" xr2:uid="{D27A89C7-3550-4D48-8A7C-0CFDC3A7F1AC}"/>
  </bookViews>
  <sheets>
    <sheet name="Uncleaned HealthConnectData" sheetId="1" r:id="rId1"/>
    <sheet name="Cleaned HealthConnect Data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0" i="4" l="1"/>
  <c r="T25" i="4"/>
  <c r="T3940" i="4"/>
  <c r="U3940" i="4"/>
  <c r="T3941" i="4"/>
  <c r="T3942" i="4"/>
  <c r="T3943" i="4"/>
  <c r="T3944" i="4"/>
  <c r="T3945" i="4"/>
  <c r="T3946" i="4"/>
  <c r="T3947" i="4"/>
  <c r="T3948" i="4"/>
</calcChain>
</file>

<file path=xl/sharedStrings.xml><?xml version="1.0" encoding="utf-8"?>
<sst xmlns="http://schemas.openxmlformats.org/spreadsheetml/2006/main" count="100036" uniqueCount="6746">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</sst>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4FACF-860A-4C07-A6B7-9ADC49142576}" name="Table1" displayName="Table1" ref="A1:R5001" totalsRowShown="0">
  <autoFilter ref="A1:R5001" xr:uid="{4ACE20F8-9695-4F05-BEDF-1243E9B6FDE7}"/>
  <tableColumns count="18">
    <tableColumn id="1" xr3:uid="{1B98AD24-0DD9-4D52-B10D-6B6936E3E662}" name="appointment_id"/>
    <tableColumn id="2" xr3:uid="{8E7366C2-1758-466C-A894-0905D4DD6347}" name="patient_id"/>
    <tableColumn id="3" xr3:uid="{DA8E9ECB-14FD-42DA-BF70-E61381AEAE08}" name="gender"/>
    <tableColumn id="4" xr3:uid="{18695131-63F5-4DD0-9D52-8EC54CA6C1B7}" name="age"/>
    <tableColumn id="5" xr3:uid="{BEE51DD4-057A-4E91-A8E0-2C68CB718F72}" name="age_group"/>
    <tableColumn id="6" xr3:uid="{E446106E-D3F5-4F0D-894B-2889EA3B33A3}" name="appointment_type"/>
    <tableColumn id="7" xr3:uid="{7D08B1BB-0589-48A8-A97E-FCD61D3A3798}" name="booking_date" dataDxfId="3"/>
    <tableColumn id="8" xr3:uid="{4B98AC13-82E4-4C89-8441-E389D33088D3}" name="appointment_date" dataDxfId="2"/>
    <tableColumn id="9" xr3:uid="{AF4865D1-D69E-4CCC-AC6E-046737677E40}" name="appointment_day"/>
    <tableColumn id="10" xr3:uid="{7D733513-015B-48D3-B309-C88FA8E85DD5}" name="appointment_time"/>
    <tableColumn id="11" xr3:uid="{F0249819-88D1-4E25-A3AD-578E3674A0B4}" name="booking_lead_days"/>
    <tableColumn id="12" xr3:uid="{DEA219B6-6E5A-45CA-95E8-3658CDE6082A}" name="previous_appointments"/>
    <tableColumn id="13" xr3:uid="{71E444FD-CAD1-44E4-AD02-DEFC393B2B37}" name="previous_no_shows"/>
    <tableColumn id="14" xr3:uid="{80FF2BC3-22B9-4078-8074-A05165A73F7B}" name="reminder_sent"/>
    <tableColumn id="15" xr3:uid="{9D5EBC29-F937-4251-922F-B17B1936A0DB}" name="reminder_channel"/>
    <tableColumn id="16" xr3:uid="{07576BF6-1876-4DA1-81A3-D060EDB90D4B}" name="distance_to_clinic_km"/>
    <tableColumn id="17" xr3:uid="{119D6287-4153-41DD-A713-1B2B61935AEE}" name="waiting_time_minutes"/>
    <tableColumn id="18" xr3:uid="{C2063467-D4E6-4F24-AA3B-E4BF05B549F8}" name="appointment_outcom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F7F6E-FFC2-4BC8-AD13-B204A759D807}" name="Table13" displayName="Table13" ref="A1:R5001" totalsRowShown="0">
  <autoFilter ref="A1:R5001" xr:uid="{4841658E-A991-43D7-B26B-B05290893E2E}"/>
  <tableColumns count="18">
    <tableColumn id="1" xr3:uid="{F06B5001-A643-4971-ABF6-89616FBB6486}" name="appointment_id"/>
    <tableColumn id="2" xr3:uid="{1E4EABDA-B2E3-4870-A6E0-642C6BC39FDA}" name="patient_id"/>
    <tableColumn id="3" xr3:uid="{7AF3E668-03B1-4E15-A498-E6B6EE10DE02}" name="gender"/>
    <tableColumn id="4" xr3:uid="{D08B86D1-C114-4E5B-BD7C-E6C55CFB6091}" name="age"/>
    <tableColumn id="5" xr3:uid="{0E309F76-0D3C-4DB6-8BC2-25A37CA83BCF}" name="age_group"/>
    <tableColumn id="6" xr3:uid="{529F471F-3AD2-4C57-B9A6-8E4F9181EA1C}" name="appointment_type"/>
    <tableColumn id="7" xr3:uid="{D2472970-ADF3-41B3-84A1-F87FC2FD4B2D}" name="booking_date" dataDxfId="1"/>
    <tableColumn id="8" xr3:uid="{2631E4B8-6FB7-4D6F-807D-08700FF689DD}" name="appointment_date" dataDxfId="0"/>
    <tableColumn id="9" xr3:uid="{1A3F2594-57A8-482E-B168-51011AD4A6CE}" name="appointment_day"/>
    <tableColumn id="10" xr3:uid="{9C07C076-1682-4847-B809-B51D21D2CC85}" name="appointment_time"/>
    <tableColumn id="11" xr3:uid="{61899EAD-B625-40B3-9C28-2F0CD1A5A230}" name="booking_lead_days"/>
    <tableColumn id="12" xr3:uid="{6983B76F-1D55-493D-A1D3-54152A1587D0}" name="previous_appointments"/>
    <tableColumn id="13" xr3:uid="{64F16A67-8A00-4AEC-838A-6CEF75EBCA6C}" name="previous_no_shows"/>
    <tableColumn id="14" xr3:uid="{23CE5382-52A8-4A82-A261-8D6A66D02F4A}" name="reminder_sent"/>
    <tableColumn id="15" xr3:uid="{62DFA270-2146-40F3-8CE5-C51DB330B2B7}" name="reminder_channel"/>
    <tableColumn id="16" xr3:uid="{C4229E85-D273-4D25-97B2-27211A81CA54}" name="distance_to_clinic_km"/>
    <tableColumn id="17" xr3:uid="{2EC78A5C-7055-4D8D-9E06-7FCFBBCA4DCF}" name="waiting_time_minutes"/>
    <tableColumn id="18" xr3:uid="{8B2B0FD3-AFDD-44DC-A874-A858F2B5FFC6}" name="appointment_outcom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DA9-62C0-4B4F-8EB1-9472F8C7CD13}">
  <dimension ref="A1:R5001"/>
  <sheetViews>
    <sheetView topLeftCell="H1" zoomScale="80" zoomScaleNormal="80" workbookViewId="0">
      <selection activeCell="Q56" sqref="Q56"/>
    </sheetView>
  </sheetViews>
  <sheetFormatPr defaultRowHeight="15" x14ac:dyDescent="0.25"/>
  <cols>
    <col min="1" max="1" width="17.42578125" customWidth="1"/>
    <col min="2" max="2" width="12.28515625" customWidth="1"/>
    <col min="3" max="3" width="9.42578125" customWidth="1"/>
    <col min="5" max="5" width="12.42578125" customWidth="1"/>
    <col min="6" max="6" width="19.7109375" customWidth="1"/>
    <col min="7" max="7" width="15.28515625" customWidth="1"/>
    <col min="8" max="8" width="19.7109375" customWidth="1"/>
    <col min="9" max="9" width="18.85546875" customWidth="1"/>
    <col min="10" max="10" width="19.85546875" customWidth="1"/>
    <col min="11" max="11" width="20.140625" customWidth="1"/>
    <col min="12" max="12" width="24.28515625" customWidth="1"/>
    <col min="13" max="13" width="20.7109375" customWidth="1"/>
    <col min="14" max="14" width="16.28515625" customWidth="1"/>
    <col min="15" max="15" width="19.42578125" customWidth="1"/>
    <col min="16" max="16" width="22.7109375" customWidth="1"/>
    <col min="17" max="17" width="23.140625" customWidth="1"/>
    <col min="18" max="18" width="2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B353-8CCB-4980-9A59-AA28BF1587C4}">
  <dimension ref="A1:U5001"/>
  <sheetViews>
    <sheetView tabSelected="1" topLeftCell="G1" zoomScale="68" zoomScaleNormal="68" workbookViewId="0">
      <selection activeCell="T26" sqref="T26"/>
    </sheetView>
  </sheetViews>
  <sheetFormatPr defaultRowHeight="15" x14ac:dyDescent="0.25"/>
  <cols>
    <col min="1" max="1" width="17.42578125" customWidth="1"/>
    <col min="2" max="2" width="12.28515625" customWidth="1"/>
    <col min="3" max="3" width="9.42578125" customWidth="1"/>
    <col min="5" max="5" width="12.42578125" customWidth="1"/>
    <col min="6" max="6" width="19.7109375" customWidth="1"/>
    <col min="7" max="7" width="15.28515625" customWidth="1"/>
    <col min="8" max="8" width="19.7109375" customWidth="1"/>
    <col min="9" max="9" width="18.85546875" customWidth="1"/>
    <col min="10" max="10" width="19.85546875" customWidth="1"/>
    <col min="11" max="11" width="20.140625" customWidth="1"/>
    <col min="12" max="12" width="24.28515625" customWidth="1"/>
    <col min="13" max="13" width="20.7109375" customWidth="1"/>
    <col min="14" max="14" width="16.28515625" customWidth="1"/>
    <col min="15" max="15" width="19.42578125" customWidth="1"/>
    <col min="16" max="16" width="22.7109375" customWidth="1"/>
    <col min="17" max="17" width="23.140625" customWidth="1"/>
    <col min="18" max="18" width="2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20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20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20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20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  <c r="T20">
        <f>SUMPRODUCT((M2:M5001&gt;0)*(N2:N5001="Yes")*(R2:R5001="No-Show"))/SUMPRODUCT((M2:M5001&gt;0)*(N2:N5001="Yes"))</f>
        <v>0.53825681969394545</v>
      </c>
    </row>
    <row r="21" spans="1:20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20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20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20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20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  <c r="T25">
        <f>SUMPRODUCT((M2:M5001&gt;0)*(N2:N5001="No")*(R2:R5001="No-Show"))/SUMPRODUCT((M2:M5001&gt;0)*(N2:N5001="No"))</f>
        <v>0.59548611111111116</v>
      </c>
    </row>
    <row r="26" spans="1:20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20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20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20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20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20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20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P40">
        <v>8.6999999999999993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Q56">
        <v>24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P178">
        <v>8.6999999999999993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Q345">
        <v>24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P445">
        <v>8.6999999999999993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P505">
        <v>8.6999999999999993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Q567">
        <v>24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P583">
        <v>8.6999999999999993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P657">
        <v>8.6999999999999993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P732">
        <v>8.6999999999999993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Q757">
        <v>24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P762">
        <v>8.6999999999999993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Q787">
        <v>24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Q889">
        <v>24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Q908">
        <v>24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P926">
        <v>8.6999999999999993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Q947">
        <v>24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P974">
        <v>8.6999999999999993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P993">
        <v>8.6999999999999993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Q1046">
        <v>24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P1076">
        <v>8.6999999999999993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P1122">
        <v>8.6999999999999993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P1137">
        <v>8.6999999999999993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P1270">
        <v>8.6999999999999993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P1273">
        <v>8.6999999999999993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P1293">
        <v>8.6999999999999993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P1318">
        <v>8.6999999999999993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P1416">
        <v>8.6999999999999993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P1423">
        <v>8.6999999999999993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P1535">
        <v>8.6999999999999993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Q1558">
        <v>24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P1596">
        <v>8.6999999999999993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Q1635">
        <v>24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Q1658">
        <v>24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P1687">
        <v>8.6999999999999993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P1759">
        <v>8.6999999999999993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P1786">
        <v>8.6999999999999993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Q1854">
        <v>24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P1886">
        <v>8.6999999999999993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P2184">
        <v>8.6999999999999993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P2195">
        <v>8.6999999999999993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P2281">
        <v>8.6999999999999993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Q2310">
        <v>24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P2312">
        <v>8.6999999999999993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P2347">
        <v>8.6999999999999993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P2379">
        <v>8.6999999999999993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P2382">
        <v>8.6999999999999993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P2450">
        <v>8.6999999999999993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P2490">
        <v>8.6999999999999993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P2499">
        <v>8.6999999999999993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P2507">
        <v>8.6999999999999993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P2534">
        <v>8.6999999999999993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P2550">
        <v>8.6999999999999993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P2592">
        <v>8.6999999999999993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P2616">
        <v>8.6999999999999993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P2646">
        <v>8.6999999999999993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Q2657">
        <v>24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P2666">
        <v>8.6999999999999993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P2723">
        <v>8.6999999999999993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P2732">
        <v>8.6999999999999993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P2751">
        <v>8.6999999999999993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P2758">
        <v>8.6999999999999993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P2771">
        <v>8.6999999999999993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P2847">
        <v>8.6999999999999993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P2959">
        <v>8.6999999999999993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P2975">
        <v>8.6999999999999993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P3053">
        <v>8.6999999999999993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P3092">
        <v>8.6999999999999993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Q3106">
        <v>24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P3147">
        <v>8.6999999999999993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P3296">
        <v>8.6999999999999993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P3299">
        <v>8.6999999999999993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P3341">
        <v>8.6999999999999993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P3403">
        <v>8.6999999999999993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Q3429">
        <v>24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P3466">
        <v>8.6999999999999993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P3480">
        <v>8.6999999999999993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P3536">
        <v>8.6999999999999993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P3541">
        <v>8.6999999999999993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P3567">
        <v>8.6999999999999993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P3621">
        <v>8.6999999999999993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P3635">
        <v>8.6999999999999993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P3642">
        <v>8.6999999999999993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P3733">
        <v>8.6999999999999993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P3832">
        <v>8.6999999999999993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P3924">
        <v>8.6999999999999993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P3926">
        <v>8.6999999999999993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21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P3937">
        <v>8.6999999999999993</v>
      </c>
      <c r="Q3937">
        <v>15</v>
      </c>
      <c r="R3937" t="s">
        <v>27</v>
      </c>
    </row>
    <row r="3938" spans="1:21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21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21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  <c r="T3940">
        <f>COUNTBLANK(P2:P5001)</f>
        <v>0</v>
      </c>
      <c r="U3940">
        <f>COUNTBLANK(Q2:Q5001)</f>
        <v>39</v>
      </c>
    </row>
    <row r="3941" spans="1:21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  <c r="T3941">
        <f>COUNTA(A2:A5001)</f>
        <v>5000</v>
      </c>
    </row>
    <row r="3942" spans="1:21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  <c r="T3942">
        <f>COUNTIFS(O2:O5001,"No-Show",Q2:Q5001,"")</f>
        <v>0</v>
      </c>
    </row>
    <row r="3943" spans="1:21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  <c r="T3943">
        <f>COUNTIFS(O2:O5001,"No-Show",Q2:Q5001,)</f>
        <v>0</v>
      </c>
    </row>
    <row r="3944" spans="1:21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  <c r="T3944">
        <f>COUNTIFS(O2:O5001,"Cancelled",Q2:Q5001,)</f>
        <v>0</v>
      </c>
    </row>
    <row r="3945" spans="1:21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P3945">
        <v>8.6999999999999993</v>
      </c>
      <c r="Q3945">
        <v>20</v>
      </c>
      <c r="R3945" t="s">
        <v>27</v>
      </c>
      <c r="T3945">
        <f>COUNTIFS(O2:O5001,"Attended",Q2:Q5001,"")</f>
        <v>0</v>
      </c>
    </row>
    <row r="3946" spans="1:21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  <c r="T3946">
        <f>COUNTIFS(R2:R5001,"No-Show",Q2:Q5001,"")</f>
        <v>37</v>
      </c>
    </row>
    <row r="3947" spans="1:21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  <c r="T3947">
        <f>COUNTIFS(R2:R5001,"Cancelled",Q2:Q5001,"")</f>
        <v>2</v>
      </c>
    </row>
    <row r="3948" spans="1:21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  <c r="T3948">
        <f>COUNTIFS(R2:R5001,"Attended",Q2:Q5001,"")</f>
        <v>0</v>
      </c>
    </row>
    <row r="3949" spans="1:21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21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21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21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P3956">
        <v>8.6999999999999993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P4103">
        <v>8.6999999999999993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P4115">
        <v>8.6999999999999993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Q4150">
        <v>24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Q4195">
        <v>24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P4202">
        <v>8.6999999999999993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Q4218">
        <v>24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Q4233">
        <v>24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P4335">
        <v>8.6999999999999993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P4376">
        <v>8.6999999999999993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P4415">
        <v>8.6999999999999993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P4512">
        <v>8.6999999999999993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P4620">
        <v>8.6999999999999993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P4625">
        <v>8.6999999999999993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P4668">
        <v>8.6999999999999993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P4696">
        <v>8.6999999999999993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P4770">
        <v>8.6999999999999993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P4840">
        <v>8.6999999999999993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P4880">
        <v>8.6999999999999993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P4883">
        <v>8.6999999999999993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P4954">
        <v>8.6999999999999993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P4982">
        <v>8.6999999999999993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 HealthConnectData</vt:lpstr>
      <vt:lpstr>Cleaned HealthConnect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Kelechi Nwankwo</dc:creator>
  <cp:lastModifiedBy>Kelechi Nwankwo</cp:lastModifiedBy>
  <dcterms:created xsi:type="dcterms:W3CDTF">2026-09-27T15:07:42Z</dcterms:created>
  <dcterms:modified xsi:type="dcterms:W3CDTF">2026-09-27T22:26:32Z</dcterms:modified>
</cp:coreProperties>
</file>